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Documents\ECE2031\"/>
    </mc:Choice>
  </mc:AlternateContent>
  <xr:revisionPtr revIDLastSave="0" documentId="13_ncr:1_{07F17F63-F56A-4D36-8F0C-70A7CC106E67}" xr6:coauthVersionLast="47" xr6:coauthVersionMax="47" xr10:uidLastSave="{00000000-0000-0000-0000-000000000000}"/>
  <bookViews>
    <workbookView xWindow="28680" yWindow="-990" windowWidth="29040" windowHeight="15720" xr2:uid="{9D571FB4-0AF2-4C9E-AA7A-00F8E88125E4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D12" i="1" s="1"/>
  <c r="F12" i="1" s="1"/>
  <c r="C4" i="1"/>
  <c r="C3" i="1"/>
  <c r="F17" i="1"/>
  <c r="D17" i="1"/>
  <c r="D19" i="1"/>
  <c r="D22" i="1"/>
  <c r="F22" i="1" s="1"/>
  <c r="D15" i="1"/>
  <c r="F15" i="1" s="1"/>
  <c r="F19" i="1"/>
  <c r="D5" i="1" l="1"/>
  <c r="F5" i="1" s="1"/>
  <c r="F24" i="1" s="1"/>
</calcChain>
</file>

<file path=xl/sharedStrings.xml><?xml version="1.0" encoding="utf-8"?>
<sst xmlns="http://schemas.openxmlformats.org/spreadsheetml/2006/main" count="27" uniqueCount="24">
  <si>
    <t>Assignment(s)</t>
  </si>
  <si>
    <t>Score</t>
  </si>
  <si>
    <t>Average</t>
  </si>
  <si>
    <t>Percentage</t>
  </si>
  <si>
    <t>Total</t>
  </si>
  <si>
    <t>One</t>
  </si>
  <si>
    <t>Two</t>
  </si>
  <si>
    <t>N/A</t>
  </si>
  <si>
    <t>Structured Labs</t>
  </si>
  <si>
    <t>Lab Work</t>
  </si>
  <si>
    <t>Results</t>
  </si>
  <si>
    <t>Reports</t>
  </si>
  <si>
    <t>Project</t>
  </si>
  <si>
    <t>Logbook</t>
  </si>
  <si>
    <t>Presentation</t>
  </si>
  <si>
    <t>Checkpoint</t>
  </si>
  <si>
    <t>Demonstration</t>
  </si>
  <si>
    <t>Files</t>
  </si>
  <si>
    <t>Summary</t>
  </si>
  <si>
    <t>Practicals</t>
  </si>
  <si>
    <t>Async Learning</t>
  </si>
  <si>
    <t>Exams</t>
  </si>
  <si>
    <t>Participation</t>
  </si>
  <si>
    <t xml:space="preserve">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</si>
</sst>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entury"/>
      <family val="1"/>
    </font>
    <font>
      <b/>
      <sz val="11"/>
      <color theme="1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6D9E-E19E-44D9-AB60-47147E7360A0}">
  <dimension ref="A1:G29"/>
  <sheetViews>
    <sheetView tabSelected="1" zoomScale="82" workbookViewId="0">
      <selection activeCell="C9" sqref="C9"/>
    </sheetView>
  </sheetViews>
  <sheetFormatPr defaultRowHeight="14.4" x14ac:dyDescent="0.3"/>
  <cols>
    <col min="1" max="1" width="26.33203125" customWidth="1"/>
    <col min="2" max="2" width="17.33203125" customWidth="1"/>
    <col min="3" max="4" width="18.6640625" customWidth="1"/>
    <col min="5" max="5" width="13.44140625" customWidth="1"/>
  </cols>
  <sheetData>
    <row r="1" spans="1:7" x14ac:dyDescent="0.3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</row>
    <row r="2" spans="1:7" x14ac:dyDescent="0.3">
      <c r="A2" s="2" t="s">
        <v>8</v>
      </c>
      <c r="B2" s="1" t="s">
        <v>9</v>
      </c>
      <c r="C2" s="1">
        <v>797.5</v>
      </c>
      <c r="D2" s="3"/>
      <c r="E2" s="3"/>
      <c r="F2" s="3"/>
      <c r="G2" s="3"/>
    </row>
    <row r="3" spans="1:7" x14ac:dyDescent="0.3">
      <c r="A3" s="3"/>
      <c r="B3" s="1" t="s">
        <v>10</v>
      </c>
      <c r="C3" s="1">
        <f>400</f>
        <v>400</v>
      </c>
      <c r="D3" s="3"/>
      <c r="E3" s="3"/>
      <c r="F3" s="3"/>
      <c r="G3" s="3"/>
    </row>
    <row r="4" spans="1:7" x14ac:dyDescent="0.3">
      <c r="A4" s="3"/>
      <c r="B4" s="1" t="s">
        <v>11</v>
      </c>
      <c r="C4" s="1">
        <f>47+47</f>
        <v>94</v>
      </c>
      <c r="D4" s="3"/>
      <c r="E4" s="3"/>
      <c r="F4" s="3"/>
      <c r="G4" s="3"/>
    </row>
    <row r="5" spans="1:7" x14ac:dyDescent="0.3">
      <c r="A5" s="3"/>
      <c r="B5" s="3"/>
      <c r="C5" s="3"/>
      <c r="D5" s="1">
        <f>SUM(C2:C4)/1350*100</f>
        <v>95.666666666666671</v>
      </c>
      <c r="E5" s="1">
        <v>0.2</v>
      </c>
      <c r="F5" s="1">
        <f>D5*E5</f>
        <v>19.133333333333336</v>
      </c>
      <c r="G5" s="3"/>
    </row>
    <row r="6" spans="1:7" x14ac:dyDescent="0.3">
      <c r="A6" s="2" t="s">
        <v>12</v>
      </c>
      <c r="B6" s="1" t="s">
        <v>13</v>
      </c>
      <c r="C6" s="1">
        <v>50</v>
      </c>
      <c r="D6" s="3"/>
      <c r="E6" s="3"/>
      <c r="F6" s="3"/>
      <c r="G6" s="3"/>
    </row>
    <row r="7" spans="1:7" x14ac:dyDescent="0.3">
      <c r="A7" s="3"/>
      <c r="B7" s="1" t="s">
        <v>14</v>
      </c>
      <c r="C7" s="1">
        <v>196</v>
      </c>
      <c r="D7" s="3"/>
      <c r="E7" s="3"/>
      <c r="F7" s="3"/>
      <c r="G7" s="3"/>
    </row>
    <row r="8" spans="1:7" x14ac:dyDescent="0.3">
      <c r="A8" s="3"/>
      <c r="B8" s="1" t="s">
        <v>15</v>
      </c>
      <c r="C8" s="1">
        <v>150</v>
      </c>
      <c r="D8" s="3"/>
      <c r="E8" s="3"/>
      <c r="F8" s="3"/>
      <c r="G8" s="3"/>
    </row>
    <row r="9" spans="1:7" x14ac:dyDescent="0.3">
      <c r="A9" s="3"/>
      <c r="B9" s="1" t="s">
        <v>16</v>
      </c>
      <c r="C9" s="1">
        <v>183.74</v>
      </c>
      <c r="D9" s="3"/>
      <c r="E9" s="3"/>
      <c r="F9" s="3"/>
      <c r="G9" s="3"/>
    </row>
    <row r="10" spans="1:7" x14ac:dyDescent="0.3">
      <c r="A10" s="3"/>
      <c r="B10" s="1" t="s">
        <v>17</v>
      </c>
      <c r="C10" s="1">
        <f>288</f>
        <v>288</v>
      </c>
      <c r="D10" s="3"/>
      <c r="E10" s="3"/>
      <c r="F10" s="3"/>
      <c r="G10" s="3"/>
    </row>
    <row r="11" spans="1:7" x14ac:dyDescent="0.3">
      <c r="A11" s="3"/>
      <c r="B11" s="1" t="s">
        <v>18</v>
      </c>
      <c r="C11" s="1">
        <f>138</f>
        <v>138</v>
      </c>
      <c r="D11" s="3"/>
      <c r="E11" s="3"/>
      <c r="F11" s="3"/>
      <c r="G11" s="3"/>
    </row>
    <row r="12" spans="1:7" x14ac:dyDescent="0.3">
      <c r="A12" s="3"/>
      <c r="B12" s="3"/>
      <c r="C12" s="3"/>
      <c r="D12" s="1">
        <f>SUM(C6:C11)/1050*100</f>
        <v>95.784761904761908</v>
      </c>
      <c r="E12" s="1">
        <v>0.2</v>
      </c>
      <c r="F12" s="1">
        <f>D12*E12</f>
        <v>19.156952380952383</v>
      </c>
      <c r="G12" s="3"/>
    </row>
    <row r="13" spans="1:7" x14ac:dyDescent="0.3">
      <c r="A13" s="2" t="s">
        <v>19</v>
      </c>
      <c r="B13" s="1" t="s">
        <v>5</v>
      </c>
      <c r="C13" s="1">
        <v>90</v>
      </c>
      <c r="D13" s="3"/>
      <c r="E13" s="3"/>
      <c r="F13" s="3"/>
      <c r="G13" s="3"/>
    </row>
    <row r="14" spans="1:7" x14ac:dyDescent="0.3">
      <c r="A14" s="3"/>
      <c r="B14" s="1" t="s">
        <v>6</v>
      </c>
      <c r="C14" s="1">
        <v>93.5</v>
      </c>
      <c r="D14" s="3"/>
      <c r="E14" s="3"/>
      <c r="F14" s="3"/>
      <c r="G14" s="3"/>
    </row>
    <row r="15" spans="1:7" x14ac:dyDescent="0.3">
      <c r="A15" s="3"/>
      <c r="B15" s="3"/>
      <c r="C15" s="3"/>
      <c r="D15" s="1">
        <f>AVERAGE(C13:C14)</f>
        <v>91.75</v>
      </c>
      <c r="E15" s="1">
        <v>0.1</v>
      </c>
      <c r="F15" s="1">
        <f>D15*E15</f>
        <v>9.1750000000000007</v>
      </c>
      <c r="G15" s="3"/>
    </row>
    <row r="16" spans="1:7" x14ac:dyDescent="0.3">
      <c r="A16" s="2" t="s">
        <v>20</v>
      </c>
      <c r="B16" s="1" t="s">
        <v>7</v>
      </c>
      <c r="C16" s="1">
        <v>100</v>
      </c>
      <c r="D16" s="3"/>
      <c r="E16" s="3"/>
      <c r="F16" s="3"/>
      <c r="G16" s="3"/>
    </row>
    <row r="17" spans="1:7" x14ac:dyDescent="0.3">
      <c r="A17" s="3"/>
      <c r="B17" s="3"/>
      <c r="C17" s="3"/>
      <c r="D17" s="1">
        <f>C16</f>
        <v>100</v>
      </c>
      <c r="E17" s="1">
        <v>0.05</v>
      </c>
      <c r="F17" s="1">
        <f>D17*E17</f>
        <v>5</v>
      </c>
      <c r="G17" s="3"/>
    </row>
    <row r="18" spans="1:7" x14ac:dyDescent="0.3">
      <c r="A18" s="2" t="s">
        <v>22</v>
      </c>
      <c r="B18" s="1" t="s">
        <v>7</v>
      </c>
      <c r="C18" s="1">
        <v>98</v>
      </c>
      <c r="D18" s="3"/>
      <c r="E18" s="3"/>
      <c r="F18" s="3"/>
      <c r="G18" s="3"/>
    </row>
    <row r="19" spans="1:7" x14ac:dyDescent="0.3">
      <c r="A19" s="3"/>
      <c r="B19" s="3"/>
      <c r="C19" s="3"/>
      <c r="D19" s="1">
        <f>C18</f>
        <v>98</v>
      </c>
      <c r="E19" s="1">
        <v>0.05</v>
      </c>
      <c r="F19" s="1">
        <f>C18*E19</f>
        <v>4.9000000000000004</v>
      </c>
      <c r="G19" s="3"/>
    </row>
    <row r="20" spans="1:7" x14ac:dyDescent="0.3">
      <c r="A20" s="2" t="s">
        <v>21</v>
      </c>
      <c r="B20" s="1" t="s">
        <v>5</v>
      </c>
      <c r="C20" s="1">
        <v>88.6</v>
      </c>
      <c r="D20" s="3"/>
      <c r="E20" s="3"/>
      <c r="F20" s="3"/>
      <c r="G20" s="3"/>
    </row>
    <row r="21" spans="1:7" x14ac:dyDescent="0.3">
      <c r="A21" s="3"/>
      <c r="B21" s="1" t="s">
        <v>6</v>
      </c>
      <c r="C21" s="1">
        <v>82.24</v>
      </c>
      <c r="D21" s="3"/>
      <c r="E21" s="3"/>
      <c r="F21" s="3"/>
      <c r="G21" s="3"/>
    </row>
    <row r="22" spans="1:7" x14ac:dyDescent="0.3">
      <c r="A22" s="3"/>
      <c r="B22" s="3"/>
      <c r="C22" s="3"/>
      <c r="D22" s="1">
        <f>AVERAGE(C20:C21)</f>
        <v>85.419999999999987</v>
      </c>
      <c r="E22" s="1">
        <v>0.4</v>
      </c>
      <c r="F22" s="1">
        <f>D22*E22</f>
        <v>34.167999999999999</v>
      </c>
      <c r="G22" s="3"/>
    </row>
    <row r="23" spans="1:7" x14ac:dyDescent="0.3">
      <c r="A23" s="3"/>
      <c r="B23" s="3"/>
      <c r="C23" s="3"/>
      <c r="D23" s="3"/>
      <c r="E23" s="3"/>
      <c r="F23" s="3"/>
      <c r="G23" s="3"/>
    </row>
    <row r="24" spans="1:7" x14ac:dyDescent="0.3">
      <c r="A24" s="3"/>
      <c r="B24" s="3"/>
      <c r="C24" s="3"/>
      <c r="D24" s="3"/>
      <c r="E24" s="1" t="s">
        <v>23</v>
      </c>
      <c r="F24" s="1">
        <f>SUM(F2:F22)</f>
        <v>91.533285714285711</v>
      </c>
      <c r="G24" s="3"/>
    </row>
    <row r="25" spans="1:7" x14ac:dyDescent="0.3">
      <c r="A25" s="3"/>
      <c r="B25" s="3"/>
      <c r="C25" s="3"/>
      <c r="D25" s="3"/>
      <c r="E25" s="3"/>
      <c r="F25" s="3"/>
      <c r="G25" s="3"/>
    </row>
    <row r="26" spans="1:7" x14ac:dyDescent="0.3">
      <c r="A26" s="3"/>
      <c r="B26" s="3"/>
      <c r="C26" s="3"/>
      <c r="D26" s="3"/>
      <c r="E26" s="3"/>
      <c r="F26" s="3"/>
      <c r="G26" s="3"/>
    </row>
    <row r="29" spans="1:7" x14ac:dyDescent="0.3">
      <c r="D29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dcterms:created xsi:type="dcterms:W3CDTF">2023-10-19T18:30:15Z</dcterms:created>
  <dcterms:modified xsi:type="dcterms:W3CDTF">2025-12-14T01:51:01Z</dcterms:modified>
</cp:coreProperties>
</file>